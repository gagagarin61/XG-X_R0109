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計算フロー" sheetId="1" state="visible" r:id="rId1"/>
    <sheet name="数値例（具体計算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666666"/>
      <sz val="10"/>
    </font>
    <font>
      <name val="Arial"/>
      <color rgb="000000FF"/>
      <sz val="10"/>
    </font>
    <font>
      <name val="Arial"/>
      <i val="1"/>
      <color rgb="00444444"/>
      <sz val="9"/>
    </font>
    <font>
      <name val="Arial"/>
      <color rgb="009C0006"/>
      <sz val="10"/>
    </font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F0F7EC"/>
        <bgColor rgb="00F0F7EC"/>
      </patternFill>
    </fill>
    <fill>
      <patternFill patternType="solid">
        <fgColor rgb="00843C0C"/>
        <bgColor rgb="00843C0C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7030A0"/>
        <bgColor rgb="007030A0"/>
      </patternFill>
    </fill>
    <fill>
      <patternFill patternType="solid">
        <fgColor rgb="00E2CFED"/>
        <bgColor rgb="00E2CFED"/>
      </patternFill>
    </fill>
    <fill>
      <patternFill patternType="solid">
        <fgColor rgb="00F4EEF9"/>
        <bgColor rgb="00F4EEF9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2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2" fontId="9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2" fontId="9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164" fontId="7" fillId="12" borderId="1" applyAlignment="1" pivotButton="0" quotePrefix="0" xfId="0">
      <alignment horizontal="center" vertical="center" wrapText="1"/>
    </xf>
    <xf numFmtId="165" fontId="7" fillId="12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164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164" fontId="7" fillId="16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30" customWidth="1" min="4" max="4"/>
    <col width="50" customWidth="1" min="5" max="5"/>
    <col width="30" customWidth="1" min="6" max="6"/>
  </cols>
  <sheetData>
    <row r="1" ht="32" customHeight="1">
      <c r="A1" s="1" t="inlineStr">
        <is>
          <t>XG-X R0109 貼り合わせ検査 ― ずれ量計算フロー</t>
        </is>
      </c>
    </row>
    <row r="2" ht="24" customHeight="1">
      <c r="A2" s="2" t="inlineStr">
        <is>
          <t>ステップ</t>
        </is>
      </c>
      <c r="B2" s="2" t="inlineStr">
        <is>
          <t>処理名</t>
        </is>
      </c>
      <c r="C2" s="2" t="inlineStr">
        <is>
          <t>ユニット/MTX</t>
        </is>
      </c>
      <c r="D2" s="2" t="inlineStr">
        <is>
          <t>入力変数</t>
        </is>
      </c>
      <c r="E2" s="2" t="inlineStr">
        <is>
          <t>計算式・処理内容</t>
        </is>
      </c>
      <c r="F2" s="2" t="inlineStr">
        <is>
          <t>出力変数</t>
        </is>
      </c>
    </row>
    <row r="3" ht="60" customHeight="1">
      <c r="A3" s="3" t="inlineStr">
        <is>
          <t>①</t>
        </is>
      </c>
      <c r="B3" s="4" t="inlineStr">
        <is>
          <t>カメラ撮像</t>
        </is>
      </c>
      <c r="C3" s="4" t="inlineStr">
        <is>
          <t>U0005</t>
        </is>
      </c>
      <c r="D3" s="4" t="inlineStr">
        <is>
          <t>&amp;Cam1Img
&amp;Cam2Img</t>
        </is>
      </c>
      <c r="E3" s="4" t="inlineStr">
        <is>
          <t>2台のカメラで同時撮像
シャッター速度・感度は変数参照</t>
        </is>
      </c>
      <c r="F3" s="4" t="inlineStr">
        <is>
          <t>&amp;Cam1Img
&amp;Cam2Img（更新）</t>
        </is>
      </c>
    </row>
    <row r="4" ht="60" customHeight="1">
      <c r="A4" s="5" t="inlineStr">
        <is>
          <t>②</t>
        </is>
      </c>
      <c r="B4" s="6" t="inlineStr">
        <is>
          <t>キャリブ情報抽出</t>
        </is>
      </c>
      <c r="C4" s="6" t="inlineStr">
        <is>
          <t>MTX0007</t>
        </is>
      </c>
      <c r="D4" s="6" t="inlineStr">
        <is>
          <t>$Stage_CalibrationData_Cam1[]
$Stage_CalibrationData_Cam2[]</t>
        </is>
      </c>
      <c r="E4" s="6" t="inlineStr">
        <is>
          <t>CalibInfo(画像サイズXY, キャリブデータ, 出力配列)
→ 分解能[2]=X解像度(mm), [3]=Y解像度(mm)
mm値 × 1000 → μm変換</t>
        </is>
      </c>
      <c r="F4" s="6" t="inlineStr">
        <is>
          <t>$CalbInfo1[]
$CalbInfo2[]</t>
        </is>
      </c>
    </row>
    <row r="5" ht="60" customHeight="1">
      <c r="A5" s="3" t="inlineStr">
        <is>
          <t>③</t>
        </is>
      </c>
      <c r="B5" s="4" t="inlineStr">
        <is>
          <t>マーク検出（pix）</t>
        </is>
      </c>
      <c r="C5" s="4" t="inlineStr">
        <is>
          <t>U0011/12
U0020/38
U0040/41</t>
        </is>
      </c>
      <c r="D5" s="4" t="inlineStr">
        <is>
          <t>&amp;Cam1Img
&amp;Cam2Img
登録テンプレート</t>
        </is>
      </c>
      <c r="E5" s="4" t="inlineStr">
        <is>
          <t>type=1: ShapeTrax3で形状マッチング → 重心pix座標
type=0: トレンドエッジ2本 → ISect()で交点pix座標
　#type_target_cam1/2 で方式切替</t>
        </is>
      </c>
      <c r="F5" s="4" t="inlineStr">
        <is>
          <t>#Ave_Pos_target_pix[0]
#Ave_Pos_target_pix[1]</t>
        </is>
      </c>
    </row>
    <row r="6" ht="130" customHeight="1">
      <c r="A6" s="5" t="inlineStr">
        <is>
          <t>④</t>
        </is>
      </c>
      <c r="B6" s="6" t="inlineStr">
        <is>
          <t>カメラ移動量算出(mm)</t>
        </is>
      </c>
      <c r="C6" s="6" t="inlineStr">
        <is>
          <t>MTX0048</t>
        </is>
      </c>
      <c r="D6" s="6" t="inlineStr">
        <is>
          <t>#RegMasterPosselec_target_CamXY[]
#AlignmentPosselec_target_CamXY[]
$Stage_CalibrationPos_Cam1/2[]
※selec変数の中身はU0013/U0014分岐で変化</t>
        </is>
      </c>
      <c r="E6" s="6" t="inlineStr">
        <is>
          <t>cam_move_reg_mm  = #RegMasterPosselec_target_CamXY  − キャリブ基準位置
cam_move_detec_mm= #AlignmentPosselec_target_CamXY  − キャリブ基準位置
⚠注意：#RegMasterPosselec_target_CamXY の中身は分岐で変わる
  ・MTX0013ルート：#RegMasterPos_target_CamXY（＝登録時カメラ位置）
  ・MTX0014ルート：#AlignmentPos_target_CamXY（＝検出時カメラ位置・X符号反転）
→ 「登録時CamXY」と単純に言えるのはMTX0013ルートが有効な場合のみ</t>
        </is>
      </c>
      <c r="F6" s="6" t="inlineStr">
        <is>
          <t>#target_cam_move_reg_mm[]
#target_cam_move_detec_mm[]</t>
        </is>
      </c>
    </row>
    <row r="7" ht="60" customHeight="1">
      <c r="A7" s="3" t="inlineStr">
        <is>
          <t>⑤</t>
        </is>
      </c>
      <c r="B7" s="4" t="inlineStr">
        <is>
          <t>カメラ移動量をpixに変換</t>
        </is>
      </c>
      <c r="C7" s="4" t="inlineStr">
        <is>
          <t>MTX0048</t>
        </is>
      </c>
      <c r="D7" s="4" t="inlineStr">
        <is>
          <t>#target_cam_move_reg_mm[]
#target_cam_move_detec_mm[]
$Stage_CalibrationData_Cam1/2[]</t>
        </is>
      </c>
      <c r="E7" s="4" t="inlineStr">
        <is>
          <t>ConvWldToPix(移動量mm, キャリブデータ) − ConvWldToPix(0,0, キャリブデータ)
→ カメラ移動量をpixに換算</t>
        </is>
      </c>
      <c r="F7" s="4" t="inlineStr">
        <is>
          <t>#target_cam_move_reg_pix[]
#target_cam_move_detec_pix[]</t>
        </is>
      </c>
    </row>
    <row r="8" ht="60" customHeight="1">
      <c r="A8" s="5" t="inlineStr">
        <is>
          <t>⑥</t>
        </is>
      </c>
      <c r="B8" s="6" t="inlineStr">
        <is>
          <t>CU座標算出（補正済みpix）</t>
        </is>
      </c>
      <c r="C8" s="6" t="inlineStr">
        <is>
          <t>MTX0048</t>
        </is>
      </c>
      <c r="D8" s="6" t="inlineStr">
        <is>
          <t>#Ave_Pos_target_pix[]
#target_cam_move_detec_pix[]
#MasterPosSelect_target_pix[]
#target_cam_move_reg_pix[]</t>
        </is>
      </c>
      <c r="E8" s="6" t="inlineStr">
        <is>
          <t>AlignmentPos_target_CU  = 検出pix + カメラ移動量pix(検出時)
MasterPosSelect_target_CU = 基準pix + カメラ移動量pix(登録時)
→ カメラが動いていても同一基準で比較できる座標</t>
        </is>
      </c>
      <c r="F8" s="6" t="inlineStr">
        <is>
          <t>#AlignmentPos_target_CU[]
#MasterPosSelect_target_CU[]</t>
        </is>
      </c>
    </row>
    <row r="9" ht="60" customHeight="1">
      <c r="A9" s="3" t="inlineStr">
        <is>
          <t>⑦</t>
        </is>
      </c>
      <c r="B9" s="4" t="inlineStr">
        <is>
          <t>世界座標変換(mm)</t>
        </is>
      </c>
      <c r="C9" s="4" t="inlineStr">
        <is>
          <t>U0096/97
MTX0100</t>
        </is>
      </c>
      <c r="D9" s="4" t="inlineStr">
        <is>
          <t>#AlignmentPos_target_CU[]
#MasterPosSelect_target_CU[]
$Stage_CalibrationData_Cam1/2[]</t>
        </is>
      </c>
      <c r="E9" s="4" t="inlineStr">
        <is>
          <t>アライメント座標変換ユニットが内部でpix→mm変換
ALP_DPXW/DPYW: 検出点の世界座標(mm)
ALP_BXW/BYW:  基準点の世界座標(mm)</t>
        </is>
      </c>
      <c r="F9" s="4" t="inlineStr">
        <is>
          <t>#AlignmentPos_target_mm[]
#RegMasterPos_target_mm[]</t>
        </is>
      </c>
    </row>
    <row r="10" ht="60" customHeight="1">
      <c r="A10" s="5" t="inlineStr">
        <is>
          <t>⑧</t>
        </is>
      </c>
      <c r="B10" s="6" t="inlineStr">
        <is>
          <t>ずれ量計算(XYθ)</t>
        </is>
      </c>
      <c r="C10" s="6" t="inlineStr">
        <is>
          <t>MTX0049</t>
        </is>
      </c>
      <c r="D10" s="6" t="inlineStr">
        <is>
          <t>#AlignmentPos_target_mm[0][1]
#RegMasterPos_target_mm[0][1]</t>
        </is>
      </c>
      <c r="E10" s="6" t="inlineStr">
        <is>
          <t>中点計算: MidXY(Cam1mm, Cam2mm)
Diff = MidXY(検出) − MidXY(基準)
dX = −Diff.X
dY =  Diff.Y
dT = アライメント角度計算結果</t>
        </is>
      </c>
      <c r="F10" s="6" t="inlineStr">
        <is>
          <t>#Diff_target
#dX_target
#dY_target
#dT_target</t>
        </is>
      </c>
    </row>
    <row r="11" ht="60" customHeight="1">
      <c r="A11" s="3" t="inlineStr">
        <is>
          <t>⑨</t>
        </is>
      </c>
      <c r="B11" s="4" t="inlineStr">
        <is>
          <t>結果出力</t>
        </is>
      </c>
      <c r="C11" s="4" t="inlineStr">
        <is>
          <t>U0083/113</t>
        </is>
      </c>
      <c r="D11" s="4" t="inlineStr">
        <is>
          <t>#dX_target #dY_target
#dT_target
#status_out</t>
        </is>
      </c>
      <c r="E11" s="4" t="inlineStr">
        <is>
          <t>ずれ量 → 上位装置へEthernet送信(GW,1/GW,2)
判定結果(OK/NG) → I/O出力
#status_out: Max2(2, #Search_Result[]) で総合判定</t>
        </is>
      </c>
      <c r="F11" s="4" t="inlineStr">
        <is>
          <t>外部出力
I/O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8" customWidth="1" min="4" max="4"/>
    <col width="40" customWidth="1" min="5" max="5"/>
    <col width="14" customWidth="1" min="6" max="6"/>
    <col width="14" customWidth="1" min="7" max="7"/>
    <col width="30" customWidth="1" min="8" max="8"/>
  </cols>
  <sheetData>
    <row r="1" ht="32" customHeight="1">
      <c r="A1" s="1" t="inlineStr">
        <is>
          <t>XG-X R0109 ― ずれ量計算 数値例（2カメラ構成）</t>
        </is>
      </c>
    </row>
    <row r="2">
      <c r="A2" s="7" t="inlineStr">
        <is>
          <t>■ 前提条件（入力値）</t>
        </is>
      </c>
    </row>
    <row r="3" ht="20" customHeight="1">
      <c r="A3" s="8" t="inlineStr">
        <is>
          <t>項目</t>
        </is>
      </c>
      <c r="B3" s="8" t="inlineStr">
        <is>
          <t>変数名</t>
        </is>
      </c>
      <c r="C3" s="8" t="inlineStr">
        <is>
          <t>Cam1</t>
        </is>
      </c>
      <c r="D3" s="8" t="inlineStr">
        <is>
          <t>Cam2</t>
        </is>
      </c>
      <c r="E3" s="8" t="inlineStr">
        <is>
          <t>単位</t>
        </is>
      </c>
      <c r="F3" s="8" t="inlineStr">
        <is>
          <t>備考</t>
        </is>
      </c>
    </row>
    <row r="4" ht="18" customHeight="1">
      <c r="A4" s="9" t="inlineStr">
        <is>
          <t>解像度 X</t>
        </is>
      </c>
      <c r="B4" s="10" t="inlineStr">
        <is>
          <t>$CalbInfo[2]</t>
        </is>
      </c>
      <c r="C4" s="11" t="n">
        <v>10</v>
      </c>
      <c r="D4" s="11" t="n">
        <v>10</v>
      </c>
      <c r="E4" s="12" t="inlineStr">
        <is>
          <t>μm/pix</t>
        </is>
      </c>
      <c r="F4" s="9" t="inlineStr">
        <is>
          <t>キャリブ後の分解能</t>
        </is>
      </c>
    </row>
    <row r="5" ht="18" customHeight="1">
      <c r="A5" s="9" t="inlineStr">
        <is>
          <t>解像度 Y</t>
        </is>
      </c>
      <c r="B5" s="10" t="inlineStr">
        <is>
          <t>$CalbInfo[3]</t>
        </is>
      </c>
      <c r="C5" s="11" t="n">
        <v>10</v>
      </c>
      <c r="D5" s="11" t="n">
        <v>10</v>
      </c>
      <c r="E5" s="12" t="inlineStr">
        <is>
          <t>μm/pix</t>
        </is>
      </c>
      <c r="F5" s="9" t="inlineStr"/>
    </row>
    <row r="6" ht="18" customHeight="1">
      <c r="A6" s="9" t="inlineStr">
        <is>
          <t>画像中心 X</t>
        </is>
      </c>
      <c r="B6" s="10" t="inlineStr">
        <is>
          <t>$Img_center[].X</t>
        </is>
      </c>
      <c r="C6" s="11" t="n">
        <v>4800</v>
      </c>
      <c r="D6" s="11" t="n">
        <v>4800</v>
      </c>
      <c r="E6" s="12" t="inlineStr">
        <is>
          <t>pix</t>
        </is>
      </c>
      <c r="F6" s="9" t="inlineStr">
        <is>
          <t>9600pix幅の中心</t>
        </is>
      </c>
    </row>
    <row r="7" ht="18" customHeight="1">
      <c r="A7" s="9" t="inlineStr">
        <is>
          <t>画像中心 Y</t>
        </is>
      </c>
      <c r="B7" s="10" t="inlineStr">
        <is>
          <t>$Img_center[].Y</t>
        </is>
      </c>
      <c r="C7" s="11" t="n">
        <v>4800</v>
      </c>
      <c r="D7" s="11" t="n">
        <v>4800</v>
      </c>
      <c r="E7" s="12" t="inlineStr">
        <is>
          <t>pix</t>
        </is>
      </c>
      <c r="F7" s="9" t="inlineStr"/>
    </row>
    <row r="8" ht="18" customHeight="1">
      <c r="A8" s="9" t="inlineStr">
        <is>
          <t>キャリブ基準位置 X</t>
        </is>
      </c>
      <c r="B8" s="10" t="inlineStr">
        <is>
          <t>$Stage_CalibrationPos_Cam[]X</t>
        </is>
      </c>
      <c r="C8" s="11" t="n">
        <v>-150</v>
      </c>
      <c r="D8" s="11" t="n">
        <v>-140</v>
      </c>
      <c r="E8" s="12" t="inlineStr">
        <is>
          <t>mm</t>
        </is>
      </c>
      <c r="F8" s="9" t="inlineStr">
        <is>
          <t>センサー設置時に登録</t>
        </is>
      </c>
    </row>
    <row r="9" ht="18" customHeight="1">
      <c r="A9" s="9" t="inlineStr">
        <is>
          <t>キャリブ基準位置 Y</t>
        </is>
      </c>
      <c r="B9" s="10" t="inlineStr">
        <is>
          <t>$Stage_CalibrationPos_Cam[]Y</t>
        </is>
      </c>
      <c r="C9" s="11" t="n">
        <v>220</v>
      </c>
      <c r="D9" s="11" t="n">
        <v>-210</v>
      </c>
      <c r="E9" s="12" t="inlineStr">
        <is>
          <t>mm</t>
        </is>
      </c>
      <c r="F9" s="9" t="inlineStr"/>
    </row>
    <row r="11">
      <c r="A11" s="13" t="inlineStr">
        <is>
          <t>■ STEP①～⑥ 基準位置登録時（良品ワークを撮像してティーチング）</t>
        </is>
      </c>
    </row>
    <row r="12" ht="20" customHeight="1">
      <c r="A12" s="14" t="inlineStr">
        <is>
          <t>項目</t>
        </is>
      </c>
      <c r="B12" s="14" t="inlineStr">
        <is>
          <t>変数名</t>
        </is>
      </c>
      <c r="C12" s="14" t="inlineStr">
        <is>
          <t>Cam1値</t>
        </is>
      </c>
      <c r="D12" s="14" t="inlineStr">
        <is>
          <t>Cam2値</t>
        </is>
      </c>
      <c r="E12" s="14" t="inlineStr">
        <is>
          <t>単位</t>
        </is>
      </c>
      <c r="F12" s="14" t="inlineStr">
        <is>
          <t>計算式（Cam1）</t>
        </is>
      </c>
      <c r="G12" s="14" t="inlineStr">
        <is>
          <t>計算式（Cam2）</t>
        </is>
      </c>
      <c r="H12" s="14" t="inlineStr">
        <is>
          <t>備考</t>
        </is>
      </c>
    </row>
    <row r="13" ht="18" customHeight="1">
      <c r="A13" s="15" t="inlineStr">
        <is>
          <t>カメラ軸位置 X</t>
        </is>
      </c>
      <c r="B13" s="16" t="inlineStr">
        <is>
          <t>#RegMasterPos_target_CamXY[].X</t>
        </is>
      </c>
      <c r="C13" s="17" t="n">
        <v>-150</v>
      </c>
      <c r="D13" s="17" t="n">
        <v>-140</v>
      </c>
      <c r="E13" s="18" t="inlineStr">
        <is>
          <t>mm</t>
        </is>
      </c>
      <c r="F13" s="15" t="inlineStr"/>
      <c r="G13" s="15" t="inlineStr"/>
      <c r="H13" s="15" t="inlineStr">
        <is>
          <t>登録時のカメラエンコーダー値</t>
        </is>
      </c>
    </row>
    <row r="14" ht="18" customHeight="1">
      <c r="A14" s="15" t="inlineStr">
        <is>
          <t>カメラ軸位置 Y</t>
        </is>
      </c>
      <c r="B14" s="16" t="inlineStr">
        <is>
          <t>#RegMasterPos_target_CamXY[].Y</t>
        </is>
      </c>
      <c r="C14" s="17" t="n">
        <v>220</v>
      </c>
      <c r="D14" s="17" t="n">
        <v>-210</v>
      </c>
      <c r="E14" s="18" t="inlineStr">
        <is>
          <t>mm</t>
        </is>
      </c>
      <c r="F14" s="15" t="inlineStr"/>
      <c r="G14" s="15" t="inlineStr"/>
      <c r="H14" s="15" t="inlineStr">
        <is>
          <t>（この例ではキャリブ位置と同じ）</t>
        </is>
      </c>
    </row>
    <row r="15" ht="18" customHeight="1">
      <c r="A15" s="15" t="inlineStr">
        <is>
          <t>マーク検出点 X</t>
        </is>
      </c>
      <c r="B15" s="16" t="inlineStr">
        <is>
          <t>#MasterPosSelect_target_pix[].X</t>
        </is>
      </c>
      <c r="C15" s="17" t="n">
        <v>4810</v>
      </c>
      <c r="D15" s="17" t="n">
        <v>4800</v>
      </c>
      <c r="E15" s="18" t="inlineStr">
        <is>
          <t>pix</t>
        </is>
      </c>
      <c r="F15" s="15" t="inlineStr"/>
      <c r="G15" s="15" t="inlineStr"/>
      <c r="H15" s="15" t="inlineStr">
        <is>
          <t>画像認識の検出結果</t>
        </is>
      </c>
    </row>
    <row r="16" ht="18" customHeight="1">
      <c r="A16" s="15" t="inlineStr">
        <is>
          <t>マーク検出点 Y</t>
        </is>
      </c>
      <c r="B16" s="16" t="inlineStr">
        <is>
          <t>#MasterPosSelect_target_pix[].Y</t>
        </is>
      </c>
      <c r="C16" s="17" t="n">
        <v>4790</v>
      </c>
      <c r="D16" s="17" t="n">
        <v>4800</v>
      </c>
      <c r="E16" s="18" t="inlineStr">
        <is>
          <t>pix</t>
        </is>
      </c>
      <c r="F16" s="15" t="inlineStr"/>
      <c r="G16" s="15" t="inlineStr"/>
      <c r="H16" s="15" t="inlineStr"/>
    </row>
    <row r="17" ht="18" customHeight="1">
      <c r="A17" s="15" t="inlineStr">
        <is>
          <t>カメラ移動量 X (mm)</t>
        </is>
      </c>
      <c r="B17" s="16" t="inlineStr">
        <is>
          <t>#target_cam_move_reg_mm[].X</t>
        </is>
      </c>
      <c r="C17" s="19">
        <f>C13-C8</f>
        <v/>
      </c>
      <c r="D17" s="19">
        <f>D13-D8</f>
        <v/>
      </c>
      <c r="E17" s="18" t="inlineStr">
        <is>
          <t>mm</t>
        </is>
      </c>
      <c r="F17" s="16">
        <f>C13-C8</f>
        <v/>
      </c>
      <c r="G17" s="16">
        <f>D13-D8</f>
        <v/>
      </c>
      <c r="H17" s="15" t="inlineStr">
        <is>
          <t>登録時CamX − キャリブ基準X</t>
        </is>
      </c>
    </row>
    <row r="18" ht="18" customHeight="1">
      <c r="A18" s="15" t="inlineStr">
        <is>
          <t>カメラ移動量 Y (mm)</t>
        </is>
      </c>
      <c r="B18" s="16" t="inlineStr">
        <is>
          <t>#target_cam_move_reg_mm[].Y</t>
        </is>
      </c>
      <c r="C18" s="19">
        <f>C14-C9</f>
        <v/>
      </c>
      <c r="D18" s="19">
        <f>D14-D9</f>
        <v/>
      </c>
      <c r="E18" s="18" t="inlineStr">
        <is>
          <t>mm</t>
        </is>
      </c>
      <c r="F18" s="16">
        <f>C14-C9</f>
        <v/>
      </c>
      <c r="G18" s="16">
        <f>D14-D9</f>
        <v/>
      </c>
      <c r="H18" s="15" t="inlineStr">
        <is>
          <t>登録時CamY − キャリブ基準Y</t>
        </is>
      </c>
    </row>
    <row r="19" ht="28" customHeight="1">
      <c r="A19" s="15" t="inlineStr">
        <is>
          <t>カメラ移動量 X (pix)</t>
        </is>
      </c>
      <c r="B19" s="16" t="inlineStr">
        <is>
          <t>#target_cam_move_reg_pix[].X</t>
        </is>
      </c>
      <c r="C19" s="20">
        <f>C17/(C4/1000)</f>
        <v/>
      </c>
      <c r="D19" s="20">
        <f>D17/(D4/1000)</f>
        <v/>
      </c>
      <c r="E19" s="18" t="inlineStr">
        <is>
          <t>pix</t>
        </is>
      </c>
      <c r="F19" s="16">
        <f>C17/(C4/1000)</f>
        <v/>
      </c>
      <c r="G19" s="16">
        <f>D17/(D4/1000)</f>
        <v/>
      </c>
      <c r="H19" s="15" t="inlineStr">
        <is>
          <t>移動量mm ÷ 解像度(mm/pix)
= 移動量mm × 1000 ÷ 解像度(μm/pix)</t>
        </is>
      </c>
    </row>
    <row r="20" ht="28" customHeight="1">
      <c r="A20" s="15" t="inlineStr">
        <is>
          <t>カメラ移動量 Y (pix)</t>
        </is>
      </c>
      <c r="B20" s="16" t="inlineStr">
        <is>
          <t>#target_cam_move_reg_pix[].Y</t>
        </is>
      </c>
      <c r="C20" s="20">
        <f>C18/(C5/1000)</f>
        <v/>
      </c>
      <c r="D20" s="20">
        <f>D18/(D5/1000)</f>
        <v/>
      </c>
      <c r="E20" s="18" t="inlineStr">
        <is>
          <t>pix</t>
        </is>
      </c>
      <c r="F20" s="16">
        <f>C18/(C5/1000)</f>
        <v/>
      </c>
      <c r="G20" s="16">
        <f>D18/(D5/1000)</f>
        <v/>
      </c>
      <c r="H20" s="15" t="inlineStr"/>
    </row>
    <row r="21" ht="28" customHeight="1">
      <c r="A21" s="15" t="inlineStr">
        <is>
          <t>基準CU座標 X</t>
        </is>
      </c>
      <c r="B21" s="16" t="inlineStr">
        <is>
          <t>#MasterPosSelect_target_CU[].X</t>
        </is>
      </c>
      <c r="C21" s="20">
        <f>C15+C19</f>
        <v/>
      </c>
      <c r="D21" s="20">
        <f>D15+D19</f>
        <v/>
      </c>
      <c r="E21" s="18" t="inlineStr">
        <is>
          <t>pix</t>
        </is>
      </c>
      <c r="F21" s="16">
        <f>C15+C19</f>
        <v/>
      </c>
      <c r="G21" s="16">
        <f>D15+D19</f>
        <v/>
      </c>
      <c r="H21" s="15" t="inlineStr">
        <is>
          <t>検出pix + カメラ移動量pix
（カメラ移動補正済み座標）</t>
        </is>
      </c>
    </row>
    <row r="22" ht="28" customHeight="1">
      <c r="A22" s="15" t="inlineStr">
        <is>
          <t>基準CU座標 Y</t>
        </is>
      </c>
      <c r="B22" s="16" t="inlineStr">
        <is>
          <t>#MasterPosSelect_target_CU[].Y</t>
        </is>
      </c>
      <c r="C22" s="20">
        <f>C16+C20</f>
        <v/>
      </c>
      <c r="D22" s="20">
        <f>D16+D20</f>
        <v/>
      </c>
      <c r="E22" s="18" t="inlineStr">
        <is>
          <t>pix</t>
        </is>
      </c>
      <c r="F22" s="16">
        <f>C16+C20</f>
        <v/>
      </c>
      <c r="G22" s="16">
        <f>D16+D20</f>
        <v/>
      </c>
      <c r="H22" s="15" t="inlineStr"/>
    </row>
    <row r="23" ht="28" customHeight="1">
      <c r="A23" s="15" t="inlineStr">
        <is>
          <t>基準位置 X (mm)</t>
        </is>
      </c>
      <c r="B23" s="16" t="inlineStr">
        <is>
          <t>#RegMasterPos_target_mm[].X</t>
        </is>
      </c>
      <c r="C23" s="19">
        <f>(C21-C6)*C4/1000</f>
        <v/>
      </c>
      <c r="D23" s="19">
        <f>(D21-D6)*D4/1000</f>
        <v/>
      </c>
      <c r="E23" s="18" t="inlineStr">
        <is>
          <t>mm</t>
        </is>
      </c>
      <c r="F23" s="16">
        <f>(C21-C6)*C4/1000</f>
        <v/>
      </c>
      <c r="G23" s="16">
        <f>(D21-D6)*D4/1000</f>
        <v/>
      </c>
      <c r="H23" s="15" t="inlineStr">
        <is>
          <t>（CU座標 − 画像中心）× 解像度(mm/pix)
※アライメント座標変換ユニットが算出</t>
        </is>
      </c>
    </row>
    <row r="24" ht="28" customHeight="1">
      <c r="A24" s="15" t="inlineStr">
        <is>
          <t>基準位置 Y (mm)</t>
        </is>
      </c>
      <c r="B24" s="16" t="inlineStr">
        <is>
          <t>#RegMasterPos_target_mm[].Y</t>
        </is>
      </c>
      <c r="C24" s="19">
        <f>(C22-C7)*C5/1000</f>
        <v/>
      </c>
      <c r="D24" s="19">
        <f>(D22-D7)*D5/1000</f>
        <v/>
      </c>
      <c r="E24" s="18" t="inlineStr">
        <is>
          <t>mm</t>
        </is>
      </c>
      <c r="F24" s="16">
        <f>(C22-C7)*C5/1000</f>
        <v/>
      </c>
      <c r="G24" s="16">
        <f>(D22-D7)*D5/1000</f>
        <v/>
      </c>
      <c r="H24" s="15" t="inlineStr"/>
    </row>
    <row r="26">
      <c r="A26" s="21" t="inlineStr">
        <is>
          <t>■ STEP①～⑥ 検査時（貼り合わせ後のワークを撮像）</t>
        </is>
      </c>
    </row>
    <row r="27" ht="20" customHeight="1">
      <c r="A27" s="22" t="inlineStr">
        <is>
          <t>項目</t>
        </is>
      </c>
      <c r="B27" s="22" t="inlineStr">
        <is>
          <t>変数名</t>
        </is>
      </c>
      <c r="C27" s="22" t="inlineStr">
        <is>
          <t>Cam1値</t>
        </is>
      </c>
      <c r="D27" s="22" t="inlineStr">
        <is>
          <t>Cam2値</t>
        </is>
      </c>
      <c r="E27" s="22" t="inlineStr">
        <is>
          <t>単位</t>
        </is>
      </c>
      <c r="F27" s="22" t="inlineStr">
        <is>
          <t>計算式（Cam1）</t>
        </is>
      </c>
      <c r="G27" s="22" t="inlineStr">
        <is>
          <t>計算式（Cam2）</t>
        </is>
      </c>
      <c r="H27" s="22" t="inlineStr">
        <is>
          <t>備考</t>
        </is>
      </c>
    </row>
    <row r="28" ht="28" customHeight="1">
      <c r="A28" s="23" t="inlineStr">
        <is>
          <t>カメラ軸位置 X</t>
        </is>
      </c>
      <c r="B28" s="24" t="inlineStr">
        <is>
          <t>#AlignmentPosselec_target_CamXY[].X</t>
        </is>
      </c>
      <c r="C28" s="25" t="n">
        <v>-148</v>
      </c>
      <c r="D28" s="25" t="n">
        <v>-140</v>
      </c>
      <c r="E28" s="26" t="inlineStr">
        <is>
          <t>mm</t>
        </is>
      </c>
      <c r="F28" s="23" t="inlineStr"/>
      <c r="G28" s="23" t="inlineStr"/>
      <c r="H28" s="23" t="inlineStr">
        <is>
          <t>検査時のカメラエンコーダー値
（Cam1は2mm移動した例）</t>
        </is>
      </c>
    </row>
    <row r="29" ht="28" customHeight="1">
      <c r="A29" s="23" t="inlineStr">
        <is>
          <t>カメラ軸位置 Y</t>
        </is>
      </c>
      <c r="B29" s="24" t="inlineStr">
        <is>
          <t>#AlignmentPosselec_target_CamXY[].Y</t>
        </is>
      </c>
      <c r="C29" s="25" t="n">
        <v>221</v>
      </c>
      <c r="D29" s="25" t="n">
        <v>-210</v>
      </c>
      <c r="E29" s="26" t="inlineStr">
        <is>
          <t>mm</t>
        </is>
      </c>
      <c r="F29" s="23" t="inlineStr"/>
      <c r="G29" s="23" t="inlineStr"/>
      <c r="H29" s="23" t="inlineStr"/>
    </row>
    <row r="30" ht="28" customHeight="1">
      <c r="A30" s="23" t="inlineStr">
        <is>
          <t>マーク検出点 X</t>
        </is>
      </c>
      <c r="B30" s="24" t="inlineStr">
        <is>
          <t>#AlignmentPos_target_pix[].X</t>
        </is>
      </c>
      <c r="C30" s="25" t="n">
        <v>4780</v>
      </c>
      <c r="D30" s="25" t="n">
        <v>4818</v>
      </c>
      <c r="E30" s="26" t="inlineStr">
        <is>
          <t>pix</t>
        </is>
      </c>
      <c r="F30" s="23" t="inlineStr"/>
      <c r="G30" s="23" t="inlineStr"/>
      <c r="H30" s="23" t="inlineStr">
        <is>
          <t>画像認識の検出結果</t>
        </is>
      </c>
    </row>
    <row r="31" ht="28" customHeight="1">
      <c r="A31" s="23" t="inlineStr">
        <is>
          <t>マーク検出点 Y</t>
        </is>
      </c>
      <c r="B31" s="24" t="inlineStr">
        <is>
          <t>#AlignmentPos_target_pix[].Y</t>
        </is>
      </c>
      <c r="C31" s="25" t="n">
        <v>4795</v>
      </c>
      <c r="D31" s="25" t="n">
        <v>4813</v>
      </c>
      <c r="E31" s="26" t="inlineStr">
        <is>
          <t>pix</t>
        </is>
      </c>
      <c r="F31" s="23" t="inlineStr"/>
      <c r="G31" s="23" t="inlineStr"/>
      <c r="H31" s="23" t="inlineStr"/>
    </row>
    <row r="32" ht="18" customHeight="1">
      <c r="A32" s="23" t="inlineStr">
        <is>
          <t>カメラ移動量 X (mm)</t>
        </is>
      </c>
      <c r="B32" s="24" t="inlineStr">
        <is>
          <t>#target_cam_move_detec_mm[].X</t>
        </is>
      </c>
      <c r="C32" s="27">
        <f>C28-C8</f>
        <v/>
      </c>
      <c r="D32" s="27">
        <f>D28-D8</f>
        <v/>
      </c>
      <c r="E32" s="26" t="inlineStr">
        <is>
          <t>mm</t>
        </is>
      </c>
      <c r="F32" s="24">
        <f>C28-C8</f>
        <v/>
      </c>
      <c r="G32" s="24">
        <f>D28-D8</f>
        <v/>
      </c>
      <c r="H32" s="23" t="inlineStr">
        <is>
          <t>検出時CamX − キャリブ基準X</t>
        </is>
      </c>
    </row>
    <row r="33" ht="18" customHeight="1">
      <c r="A33" s="23" t="inlineStr">
        <is>
          <t>カメラ移動量 Y (mm)</t>
        </is>
      </c>
      <c r="B33" s="24" t="inlineStr">
        <is>
          <t>#target_cam_move_detec_mm[].Y</t>
        </is>
      </c>
      <c r="C33" s="27">
        <f>C29-C9</f>
        <v/>
      </c>
      <c r="D33" s="27">
        <f>D29-D9</f>
        <v/>
      </c>
      <c r="E33" s="26" t="inlineStr">
        <is>
          <t>mm</t>
        </is>
      </c>
      <c r="F33" s="24">
        <f>C29-C9</f>
        <v/>
      </c>
      <c r="G33" s="24">
        <f>D29-D9</f>
        <v/>
      </c>
      <c r="H33" s="23" t="inlineStr"/>
    </row>
    <row r="34" ht="18" customHeight="1">
      <c r="A34" s="23" t="inlineStr">
        <is>
          <t>カメラ移動量 X (pix)</t>
        </is>
      </c>
      <c r="B34" s="24" t="inlineStr">
        <is>
          <t>#target_cam_move_detec_pix[].X</t>
        </is>
      </c>
      <c r="C34" s="28">
        <f>C32/(C4/1000)</f>
        <v/>
      </c>
      <c r="D34" s="28">
        <f>D32/(D4/1000)</f>
        <v/>
      </c>
      <c r="E34" s="26" t="inlineStr">
        <is>
          <t>pix</t>
        </is>
      </c>
      <c r="F34" s="24">
        <f>C32/(C4/1000)</f>
        <v/>
      </c>
      <c r="G34" s="24">
        <f>D32/(D4/1000)</f>
        <v/>
      </c>
      <c r="H34" s="23" t="inlineStr">
        <is>
          <t>移動量mm × 1000 ÷ 解像度(μm/pix)</t>
        </is>
      </c>
    </row>
    <row r="35" ht="18" customHeight="1">
      <c r="A35" s="23" t="inlineStr">
        <is>
          <t>カメラ移動量 Y (pix)</t>
        </is>
      </c>
      <c r="B35" s="24" t="inlineStr">
        <is>
          <t>#target_cam_move_detec_pix[].Y</t>
        </is>
      </c>
      <c r="C35" s="28">
        <f>C33/(C5/1000)</f>
        <v/>
      </c>
      <c r="D35" s="28">
        <f>D33/(D5/1000)</f>
        <v/>
      </c>
      <c r="E35" s="26" t="inlineStr">
        <is>
          <t>pix</t>
        </is>
      </c>
      <c r="F35" s="24">
        <f>C33/(C5/1000)</f>
        <v/>
      </c>
      <c r="G35" s="24">
        <f>D33/(D5/1000)</f>
        <v/>
      </c>
      <c r="H35" s="23" t="inlineStr"/>
    </row>
    <row r="36" ht="18" customHeight="1">
      <c r="A36" s="23" t="inlineStr">
        <is>
          <t>検出CU座標 X</t>
        </is>
      </c>
      <c r="B36" s="24" t="inlineStr">
        <is>
          <t>#AlignmentPos_target_CU[].X</t>
        </is>
      </c>
      <c r="C36" s="28">
        <f>C30+C34</f>
        <v/>
      </c>
      <c r="D36" s="28">
        <f>D30+D34</f>
        <v/>
      </c>
      <c r="E36" s="26" t="inlineStr">
        <is>
          <t>pix</t>
        </is>
      </c>
      <c r="F36" s="24">
        <f>C30+C34</f>
        <v/>
      </c>
      <c r="G36" s="24">
        <f>D30+D34</f>
        <v/>
      </c>
      <c r="H36" s="23" t="inlineStr">
        <is>
          <t>検出pix + カメラ移動量pix</t>
        </is>
      </c>
    </row>
    <row r="37" ht="18" customHeight="1">
      <c r="A37" s="23" t="inlineStr">
        <is>
          <t>検出CU座標 Y</t>
        </is>
      </c>
      <c r="B37" s="24" t="inlineStr">
        <is>
          <t>#AlignmentPos_target_CU[].Y</t>
        </is>
      </c>
      <c r="C37" s="28">
        <f>C31+C35</f>
        <v/>
      </c>
      <c r="D37" s="28">
        <f>D31+D35</f>
        <v/>
      </c>
      <c r="E37" s="26" t="inlineStr">
        <is>
          <t>pix</t>
        </is>
      </c>
      <c r="F37" s="24">
        <f>C31+C35</f>
        <v/>
      </c>
      <c r="G37" s="24">
        <f>D31+D35</f>
        <v/>
      </c>
      <c r="H37" s="23" t="inlineStr"/>
    </row>
    <row r="38" ht="18" customHeight="1">
      <c r="A38" s="23" t="inlineStr">
        <is>
          <t>検出位置 X (mm)</t>
        </is>
      </c>
      <c r="B38" s="24" t="inlineStr">
        <is>
          <t>#AlignmentPos_target_mm[].X</t>
        </is>
      </c>
      <c r="C38" s="27">
        <f>(C36-C6)*C4/1000</f>
        <v/>
      </c>
      <c r="D38" s="27">
        <f>(D36-D6)*D4/1000</f>
        <v/>
      </c>
      <c r="E38" s="26" t="inlineStr">
        <is>
          <t>mm</t>
        </is>
      </c>
      <c r="F38" s="24">
        <f>(C36-C6)*C4/1000</f>
        <v/>
      </c>
      <c r="G38" s="24">
        <f>(D36-D6)*D4/1000</f>
        <v/>
      </c>
      <c r="H38" s="23" t="inlineStr">
        <is>
          <t>（CU座標 − 画像中心）× 解像度</t>
        </is>
      </c>
    </row>
    <row r="39" ht="18" customHeight="1">
      <c r="A39" s="23" t="inlineStr">
        <is>
          <t>検出位置 Y (mm)</t>
        </is>
      </c>
      <c r="B39" s="24" t="inlineStr">
        <is>
          <t>#AlignmentPos_target_mm[].Y</t>
        </is>
      </c>
      <c r="C39" s="27">
        <f>(C37-C7)*C5/1000</f>
        <v/>
      </c>
      <c r="D39" s="27">
        <f>(D37-D7)*D5/1000</f>
        <v/>
      </c>
      <c r="E39" s="26" t="inlineStr">
        <is>
          <t>mm</t>
        </is>
      </c>
      <c r="F39" s="24">
        <f>(C37-C7)*C5/1000</f>
        <v/>
      </c>
      <c r="G39" s="24">
        <f>(D37-D7)*D5/1000</f>
        <v/>
      </c>
      <c r="H39" s="23" t="inlineStr"/>
    </row>
    <row r="41">
      <c r="A41" s="29" t="inlineStr">
        <is>
          <t>■ STEP⑧ ずれ量計算（MTX0049）</t>
        </is>
      </c>
    </row>
    <row r="42" ht="20" customHeight="1">
      <c r="A42" s="30" t="inlineStr">
        <is>
          <t>項目</t>
        </is>
      </c>
      <c r="B42" s="30" t="inlineStr">
        <is>
          <t>変数名</t>
        </is>
      </c>
      <c r="C42" s="30" t="inlineStr">
        <is>
          <t>計算結果</t>
        </is>
      </c>
      <c r="D42" s="30" t="inlineStr">
        <is>
          <t>単位</t>
        </is>
      </c>
      <c r="E42" s="30" t="inlineStr">
        <is>
          <t>計算式</t>
        </is>
      </c>
      <c r="F42" s="30" t="inlineStr"/>
      <c r="G42" s="30" t="inlineStr"/>
      <c r="H42" s="30" t="inlineStr">
        <is>
          <t>備考</t>
        </is>
      </c>
    </row>
    <row r="43" ht="18" customHeight="1">
      <c r="A43" s="31" t="inlineStr">
        <is>
          <t>中点X（基準）</t>
        </is>
      </c>
      <c r="B43" s="32" t="inlineStr">
        <is>
          <t>MidXY(#RegMasterPos_mm[0][1]).X</t>
        </is>
      </c>
      <c r="C43" s="33">
        <f>(C23+D23)/2</f>
        <v/>
      </c>
      <c r="D43" s="34" t="inlineStr">
        <is>
          <t>mm</t>
        </is>
      </c>
      <c r="E43" s="32">
        <f>(C23+D23)/2</f>
        <v/>
      </c>
      <c r="F43" s="31" t="inlineStr"/>
      <c r="G43" s="31" t="inlineStr"/>
      <c r="H43" s="31" t="inlineStr">
        <is>
          <t>Cam1とCam2の中点X</t>
        </is>
      </c>
    </row>
    <row r="44" ht="18" customHeight="1">
      <c r="A44" s="31" t="inlineStr">
        <is>
          <t>中点Y（基準）</t>
        </is>
      </c>
      <c r="B44" s="32" t="inlineStr">
        <is>
          <t>MidXY(#RegMasterPos_mm[0][1]).Y</t>
        </is>
      </c>
      <c r="C44" s="33">
        <f>(C24+D24)/2</f>
        <v/>
      </c>
      <c r="D44" s="34" t="inlineStr">
        <is>
          <t>mm</t>
        </is>
      </c>
      <c r="E44" s="32">
        <f>(C24+D24)/2</f>
        <v/>
      </c>
      <c r="F44" s="31" t="inlineStr"/>
      <c r="G44" s="31" t="inlineStr"/>
      <c r="H44" s="31" t="inlineStr"/>
    </row>
    <row r="45" ht="18" customHeight="1">
      <c r="A45" s="31" t="inlineStr">
        <is>
          <t>中点X（検出）</t>
        </is>
      </c>
      <c r="B45" s="32" t="inlineStr">
        <is>
          <t>MidXY(#AlignmentPos_mm[0][1]).X</t>
        </is>
      </c>
      <c r="C45" s="33">
        <f>(C38+D38)/2</f>
        <v/>
      </c>
      <c r="D45" s="34" t="inlineStr">
        <is>
          <t>mm</t>
        </is>
      </c>
      <c r="E45" s="32">
        <f>(C38+D38)/2</f>
        <v/>
      </c>
      <c r="F45" s="31" t="inlineStr"/>
      <c r="G45" s="31" t="inlineStr"/>
      <c r="H45" s="31" t="inlineStr"/>
    </row>
    <row r="46" ht="18" customHeight="1">
      <c r="A46" s="31" t="inlineStr">
        <is>
          <t>中点Y（検出）</t>
        </is>
      </c>
      <c r="B46" s="32" t="inlineStr">
        <is>
          <t>MidXY(#AlignmentPos_mm[0][1]).Y</t>
        </is>
      </c>
      <c r="C46" s="33">
        <f>(C39+D39)/2</f>
        <v/>
      </c>
      <c r="D46" s="34" t="inlineStr">
        <is>
          <t>mm</t>
        </is>
      </c>
      <c r="E46" s="32">
        <f>(C39+D39)/2</f>
        <v/>
      </c>
      <c r="F46" s="31" t="inlineStr"/>
      <c r="G46" s="31" t="inlineStr"/>
      <c r="H46" s="31" t="inlineStr"/>
    </row>
    <row r="47" ht="18" customHeight="1">
      <c r="A47" s="31" t="inlineStr">
        <is>
          <t>Diff.X（= 検出中点X − 基準中点X）</t>
        </is>
      </c>
      <c r="B47" s="32" t="inlineStr">
        <is>
          <t>#Diff_target.X</t>
        </is>
      </c>
      <c r="C47" s="33">
        <f>C45-C43</f>
        <v/>
      </c>
      <c r="D47" s="34" t="inlineStr">
        <is>
          <t>mm</t>
        </is>
      </c>
      <c r="E47" s="32">
        <f>C45-C43</f>
        <v/>
      </c>
      <c r="F47" s="31" t="inlineStr"/>
      <c r="G47" s="31" t="inlineStr"/>
      <c r="H47" s="31" t="inlineStr"/>
    </row>
    <row r="48" ht="18" customHeight="1">
      <c r="A48" s="31" t="inlineStr">
        <is>
          <t>Diff.Y（= 検出中点Y − 基準中点Y）</t>
        </is>
      </c>
      <c r="B48" s="32" t="inlineStr">
        <is>
          <t>#Diff_target.Y</t>
        </is>
      </c>
      <c r="C48" s="33">
        <f>C46-C44</f>
        <v/>
      </c>
      <c r="D48" s="34" t="inlineStr">
        <is>
          <t>mm</t>
        </is>
      </c>
      <c r="E48" s="32">
        <f>C46-C44</f>
        <v/>
      </c>
      <c r="F48" s="31" t="inlineStr"/>
      <c r="G48" s="31" t="inlineStr"/>
      <c r="H48" s="31" t="inlineStr"/>
    </row>
    <row r="49" ht="22" customHeight="1">
      <c r="A49" s="35" t="inlineStr">
        <is>
          <t>★ dX（X軸ずれ量）</t>
        </is>
      </c>
      <c r="B49" s="36" t="inlineStr">
        <is>
          <t>#dX_target</t>
        </is>
      </c>
      <c r="C49" s="37">
        <f>-C47</f>
        <v/>
      </c>
      <c r="D49" s="38" t="inlineStr">
        <is>
          <t>mm</t>
        </is>
      </c>
      <c r="E49" s="36">
        <f>-C47</f>
        <v/>
      </c>
      <c r="F49" s="39" t="inlineStr"/>
      <c r="G49" s="39" t="inlineStr"/>
      <c r="H49" s="39" t="inlineStr">
        <is>
          <t>符号反転（コード: dX = -Diff.X）</t>
        </is>
      </c>
    </row>
    <row r="50" ht="22" customHeight="1">
      <c r="A50" s="35" t="inlineStr">
        <is>
          <t>★ dY（Y軸ずれ量）</t>
        </is>
      </c>
      <c r="B50" s="36" t="inlineStr">
        <is>
          <t>#dY_target</t>
        </is>
      </c>
      <c r="C50" s="37">
        <f>C48</f>
        <v/>
      </c>
      <c r="D50" s="38" t="inlineStr">
        <is>
          <t>mm</t>
        </is>
      </c>
      <c r="E50" s="36">
        <f>C48</f>
        <v/>
      </c>
      <c r="F50" s="39" t="inlineStr"/>
      <c r="G50" s="39" t="inlineStr"/>
      <c r="H50" s="39" t="inlineStr">
        <is>
          <t>（コード: dY = Diff.Y）</t>
        </is>
      </c>
    </row>
    <row r="51" ht="22" customHeight="1">
      <c r="A51" s="35" t="inlineStr">
        <is>
          <t>★ dT（θ軸ずれ量）</t>
        </is>
      </c>
      <c r="B51" s="36" t="inlineStr">
        <is>
          <t>#dT_target</t>
        </is>
      </c>
      <c r="C51" s="37" t="inlineStr">
        <is>
          <t>※別途角度計算</t>
        </is>
      </c>
      <c r="D51" s="38" t="inlineStr">
        <is>
          <t>deg</t>
        </is>
      </c>
      <c r="E51" s="36" t="inlineStr">
        <is>
          <t>アライメント座標変換ユニットU0128から取得</t>
        </is>
      </c>
      <c r="F51" s="39" t="inlineStr"/>
      <c r="G51" s="39" t="inlineStr"/>
      <c r="H51" s="39" t="inlineStr">
        <is>
          <t>2点間の角度差</t>
        </is>
      </c>
    </row>
    <row r="54">
      <c r="A54" s="40" t="inlineStr">
        <is>
          <t>【凡例】 青文字=入力値（変更可）　黒文字=計算式　黄背景=最終出力</t>
        </is>
      </c>
    </row>
    <row r="56" ht="20" customHeight="1">
      <c r="A56" s="41" t="inlineStr">
        <is>
          <t>【重要な注記】 #RegMasterPosselec_target_CamXY の中身について
本シートの数値例は「MTX0013ルート（基準位置＝登録座標）」が有効な場合を前提にしています。
この場合 #RegMasterPosselec_target_CamXY = #RegMasterPos_target_CamXY（登録時の実際のカメラ軸位置）であり、
「cam_move_reg_mm = 登録時CamXY − キャリブ基準位置」という式が成立します。
一方、「MTX0014ルート（基準位置＝CamCenter）」が有効な場合は、
#RegMasterPosselec_target_CamXY = #AlignmentPos_target_CamXY（検出時のカメラ位置、Xは符号反転）に置き換わるため、
同じ計算式でも中身の意味が変わります（実機でどちらの分岐が有効かはフロー図の分岐条件で要確認）。</t>
        </is>
      </c>
    </row>
    <row r="57" ht="20" customHeight="1"/>
    <row r="58" ht="20" customHeight="1"/>
    <row r="59" ht="20" customHeight="1"/>
    <row r="60" ht="20" customHeight="1"/>
    <row r="61" ht="20" customHeight="1"/>
    <row r="62" ht="20" customHeight="1"/>
  </sheetData>
  <mergeCells count="7">
    <mergeCell ref="A56:H62"/>
    <mergeCell ref="A26:H26"/>
    <mergeCell ref="A2:H2"/>
    <mergeCell ref="A54:H54"/>
    <mergeCell ref="A41:H41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2026-06-03T04:05:38Z</dcterms:created>
  <dcterms:modified xsi:type="dcterms:W3CDTF">2026-06-07T13:15:47Z</dcterms:modified>
</cp:coreProperties>
</file>